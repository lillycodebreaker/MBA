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jt14/Downloads/"/>
    </mc:Choice>
  </mc:AlternateContent>
  <xr:revisionPtr revIDLastSave="0" documentId="13_ncr:1_{D1F655B3-A2B8-AE42-AF34-79B8E4DEF92A}" xr6:coauthVersionLast="47" xr6:coauthVersionMax="47" xr10:uidLastSave="{00000000-0000-0000-0000-000000000000}"/>
  <bookViews>
    <workbookView xWindow="6400" yWindow="500" windowWidth="18600" windowHeight="13620" tabRatio="500" activeTab="1" xr2:uid="{00000000-000D-0000-FFFF-FFFF00000000}"/>
  </bookViews>
  <sheets>
    <sheet name="Sheet1" sheetId="1" r:id="rId1"/>
    <sheet name="Sheet2" sheetId="2" r:id="rId2"/>
  </sheets>
  <calcPr calcId="191029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8" i="1" l="1"/>
  <c r="J7" i="1"/>
  <c r="I8" i="1"/>
  <c r="H7" i="1"/>
  <c r="H8" i="1"/>
  <c r="G7" i="1"/>
  <c r="I9" i="1"/>
  <c r="J9" i="1"/>
  <c r="K9" i="1"/>
  <c r="L9" i="1"/>
  <c r="K5" i="1"/>
  <c r="K11" i="1"/>
  <c r="J5" i="1"/>
  <c r="J10" i="1"/>
  <c r="H5" i="1"/>
  <c r="H6" i="1"/>
  <c r="I5" i="1"/>
  <c r="I6" i="1"/>
  <c r="J6" i="1"/>
  <c r="K6" i="1"/>
  <c r="G5" i="1"/>
  <c r="G6" i="1"/>
  <c r="I11" i="1"/>
  <c r="H11" i="1"/>
  <c r="H10" i="1"/>
  <c r="G10" i="1"/>
  <c r="H9" i="1"/>
  <c r="G9" i="1"/>
</calcChain>
</file>

<file path=xl/sharedStrings.xml><?xml version="1.0" encoding="utf-8"?>
<sst xmlns="http://schemas.openxmlformats.org/spreadsheetml/2006/main" count="40" uniqueCount="36">
  <si>
    <t>Total Production Costs</t>
  </si>
  <si>
    <t>100A/0B</t>
  </si>
  <si>
    <t>50A/50B</t>
  </si>
  <si>
    <t>0A/100B</t>
  </si>
  <si>
    <t>0A/0B</t>
  </si>
  <si>
    <t>Auction Outcomes (in millions $)</t>
  </si>
  <si>
    <t>50 planes</t>
  </si>
  <si>
    <t>100 planes</t>
  </si>
  <si>
    <t>BIDS (in millions $)</t>
  </si>
  <si>
    <t>Airbus (A) Bid</t>
  </si>
  <si>
    <t>Boeing (B) Bid</t>
  </si>
  <si>
    <t>50A/0B</t>
  </si>
  <si>
    <t>0A/50B</t>
  </si>
  <si>
    <t>Airbus (A) Cost</t>
  </si>
  <si>
    <t>Boeing (B) Cost</t>
  </si>
  <si>
    <t>NZA's Willingness to Pay</t>
  </si>
  <si>
    <t>NZA's Total Payment</t>
  </si>
  <si>
    <t>NZA's Consumer Surplus</t>
  </si>
  <si>
    <t>Airbus' Production Costs</t>
  </si>
  <si>
    <t>Boeing's Production Costs</t>
  </si>
  <si>
    <t>Airbus' Profits</t>
  </si>
  <si>
    <t>Boeing's Profits</t>
  </si>
  <si>
    <t>Airbus (A) Profits</t>
  </si>
  <si>
    <t>Boeing (B) Profits</t>
  </si>
  <si>
    <t>Round 1 A</t>
  </si>
  <si>
    <t xml:space="preserve">A's Bid for 50 planes </t>
  </si>
  <si>
    <t xml:space="preserve">A's Bid for 100 planes </t>
  </si>
  <si>
    <t>Round 1 B:</t>
  </si>
  <si>
    <t xml:space="preserve">B's Bid for 50 planes </t>
  </si>
  <si>
    <t xml:space="preserve">B's Bid for 100 planes </t>
  </si>
  <si>
    <t>Round 2:</t>
  </si>
  <si>
    <t>Ashley Dickson</t>
  </si>
  <si>
    <t>Simran Singh</t>
  </si>
  <si>
    <t>Qi Tan</t>
  </si>
  <si>
    <t xml:space="preserve"> Jason Theiling</t>
  </si>
  <si>
    <t>Please write your team members' names in cells.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</si>
</sst>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sz val="16"/>
      <color theme="4" tint="-0.249977111117893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2"/>
      <name val="Calibri"/>
      <family val="2"/>
      <scheme val="minor"/>
    </font>
    <font>
      <sz val="16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E696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vertical="center"/>
    </xf>
    <xf numFmtId="0" fontId="3" fillId="0" borderId="2" xfId="0" applyFont="1" applyBorder="1" applyAlignment="1" applyProtection="1">
      <alignment vertical="center"/>
      <protection locked="0"/>
    </xf>
    <xf numFmtId="0" fontId="3" fillId="0" borderId="3" xfId="0" applyFont="1" applyBorder="1" applyAlignment="1" applyProtection="1">
      <alignment vertical="center"/>
      <protection locked="0"/>
    </xf>
    <xf numFmtId="0" fontId="3" fillId="0" borderId="4" xfId="0" applyFont="1" applyBorder="1" applyAlignment="1" applyProtection="1">
      <alignment vertical="center"/>
      <protection locked="0"/>
    </xf>
    <xf numFmtId="0" fontId="3" fillId="0" borderId="5" xfId="0" applyFont="1" applyBorder="1" applyAlignment="1" applyProtection="1">
      <alignment vertical="center"/>
      <protection locked="0"/>
    </xf>
    <xf numFmtId="0" fontId="1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2" fillId="2" borderId="6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3" fillId="0" borderId="8" xfId="0" applyFont="1" applyBorder="1" applyAlignment="1" applyProtection="1">
      <alignment vertical="center"/>
      <protection locked="0"/>
    </xf>
    <xf numFmtId="0" fontId="3" fillId="0" borderId="9" xfId="0" applyFont="1" applyBorder="1" applyAlignment="1" applyProtection="1">
      <alignment vertical="center"/>
      <protection locked="0"/>
    </xf>
    <xf numFmtId="0" fontId="7" fillId="3" borderId="6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0" fontId="1" fillId="0" borderId="0" xfId="0" applyFont="1" applyAlignment="1">
      <alignment horizontal="right"/>
    </xf>
    <xf numFmtId="1" fontId="3" fillId="0" borderId="0" xfId="0" applyNumberFormat="1" applyFont="1"/>
    <xf numFmtId="0" fontId="0" fillId="4" borderId="0" xfId="0" applyFill="1"/>
    <xf numFmtId="0" fontId="0" fillId="4" borderId="0" xfId="0" applyFill="1" applyAlignment="1">
      <alignment horizontal="right"/>
    </xf>
    <xf numFmtId="0" fontId="0" fillId="4" borderId="0" xfId="0" applyFill="1" applyAlignment="1">
      <alignment horizontal="right" vertical="center"/>
    </xf>
    <xf numFmtId="0" fontId="0" fillId="4" borderId="0" xfId="0" applyFill="1" applyAlignment="1">
      <alignment vertical="center"/>
    </xf>
    <xf numFmtId="0" fontId="0" fillId="3" borderId="0" xfId="0" applyFill="1"/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4" fillId="5" borderId="1" xfId="0" applyFont="1" applyFill="1" applyBorder="1" applyAlignment="1">
      <alignment vertical="center"/>
    </xf>
    <xf numFmtId="0" fontId="5" fillId="5" borderId="1" xfId="0" applyFont="1" applyFill="1" applyBorder="1" applyAlignment="1">
      <alignment vertical="center"/>
    </xf>
    <xf numFmtId="0" fontId="10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6"/>
  <sheetViews>
    <sheetView showGridLines="0" zoomScale="130" zoomScaleNormal="130" zoomScalePageLayoutView="150" workbookViewId="0">
      <selection activeCell="C6" sqref="C6"/>
    </sheetView>
  </sheetViews>
  <sheetFormatPr baseColWidth="10" defaultColWidth="10.6640625" defaultRowHeight="16" x14ac:dyDescent="0.2"/>
  <cols>
    <col min="1" max="1" width="5.83203125" customWidth="1"/>
    <col min="2" max="2" width="19.5" style="8" customWidth="1"/>
    <col min="3" max="4" width="12.5" customWidth="1"/>
    <col min="6" max="6" width="22.1640625" style="10" bestFit="1" customWidth="1"/>
    <col min="7" max="9" width="8.1640625" style="1" bestFit="1" customWidth="1"/>
    <col min="10" max="11" width="7.1640625" style="1" bestFit="1" customWidth="1"/>
    <col min="12" max="12" width="6.1640625" style="1" bestFit="1" customWidth="1"/>
  </cols>
  <sheetData>
    <row r="1" spans="1:14" x14ac:dyDescent="0.2">
      <c r="N1" s="25"/>
    </row>
    <row r="2" spans="1:14" ht="21" x14ac:dyDescent="0.25">
      <c r="C2" s="30" t="s">
        <v>8</v>
      </c>
      <c r="D2" s="30"/>
      <c r="G2" s="31" t="s">
        <v>5</v>
      </c>
      <c r="H2" s="31"/>
      <c r="I2" s="31"/>
      <c r="J2" s="31"/>
      <c r="K2" s="31"/>
      <c r="L2" s="31"/>
      <c r="N2" s="25"/>
    </row>
    <row r="3" spans="1:14" ht="22" thickBot="1" x14ac:dyDescent="0.25">
      <c r="B3" s="9"/>
      <c r="C3" s="6" t="s">
        <v>6</v>
      </c>
      <c r="D3" s="6" t="s">
        <v>7</v>
      </c>
      <c r="G3" s="12" t="s">
        <v>1</v>
      </c>
      <c r="H3" s="20" t="s">
        <v>2</v>
      </c>
      <c r="I3" s="12" t="s">
        <v>3</v>
      </c>
      <c r="J3" s="12" t="s">
        <v>11</v>
      </c>
      <c r="K3" s="12" t="s">
        <v>12</v>
      </c>
      <c r="L3" s="12" t="s">
        <v>4</v>
      </c>
      <c r="N3" s="25"/>
    </row>
    <row r="4" spans="1:14" ht="22" customHeight="1" x14ac:dyDescent="0.2">
      <c r="B4" s="9" t="s">
        <v>9</v>
      </c>
      <c r="C4" s="2">
        <v>60</v>
      </c>
      <c r="D4" s="3">
        <v>120</v>
      </c>
      <c r="F4" s="11" t="s">
        <v>15</v>
      </c>
      <c r="G4" s="13">
        <v>150</v>
      </c>
      <c r="H4" s="21">
        <v>150</v>
      </c>
      <c r="I4" s="13">
        <v>150</v>
      </c>
      <c r="J4" s="13">
        <v>80</v>
      </c>
      <c r="K4" s="13">
        <v>80</v>
      </c>
      <c r="L4" s="13">
        <v>0</v>
      </c>
      <c r="N4" s="25"/>
    </row>
    <row r="5" spans="1:14" ht="22" thickBot="1" x14ac:dyDescent="0.25">
      <c r="B5" s="9" t="s">
        <v>10</v>
      </c>
      <c r="C5" s="4">
        <v>60</v>
      </c>
      <c r="D5" s="5">
        <v>120</v>
      </c>
      <c r="F5" s="11" t="s">
        <v>16</v>
      </c>
      <c r="G5" s="13">
        <f>D4</f>
        <v>120</v>
      </c>
      <c r="H5" s="21">
        <f>C4+C5</f>
        <v>120</v>
      </c>
      <c r="I5" s="13">
        <f>D5</f>
        <v>120</v>
      </c>
      <c r="J5" s="13">
        <f>C4</f>
        <v>60</v>
      </c>
      <c r="K5" s="13">
        <f>C5</f>
        <v>60</v>
      </c>
      <c r="L5" s="13">
        <v>0</v>
      </c>
      <c r="N5" s="25"/>
    </row>
    <row r="6" spans="1:14" ht="22" customHeight="1" x14ac:dyDescent="0.25">
      <c r="B6" s="23"/>
      <c r="C6" s="24"/>
      <c r="D6" s="24"/>
      <c r="F6" s="11" t="s">
        <v>17</v>
      </c>
      <c r="G6" s="32">
        <f>G4-G5</f>
        <v>30</v>
      </c>
      <c r="H6" s="22">
        <f t="shared" ref="H6:K6" si="0">H4-H5</f>
        <v>30</v>
      </c>
      <c r="I6" s="32">
        <f t="shared" si="0"/>
        <v>30</v>
      </c>
      <c r="J6" s="7">
        <f t="shared" si="0"/>
        <v>20</v>
      </c>
      <c r="K6" s="7">
        <f t="shared" si="0"/>
        <v>20</v>
      </c>
      <c r="L6" s="7">
        <v>0</v>
      </c>
      <c r="N6" s="25"/>
    </row>
    <row r="7" spans="1:14" ht="22" customHeight="1" x14ac:dyDescent="0.2">
      <c r="F7" s="11" t="s">
        <v>18</v>
      </c>
      <c r="G7" s="13">
        <f>D9</f>
        <v>100</v>
      </c>
      <c r="H7" s="21">
        <f>C9</f>
        <v>40</v>
      </c>
      <c r="I7" s="13">
        <v>0</v>
      </c>
      <c r="J7" s="13">
        <f>C9</f>
        <v>40</v>
      </c>
      <c r="K7" s="13">
        <v>0</v>
      </c>
      <c r="L7" s="13">
        <v>0</v>
      </c>
      <c r="N7" s="25"/>
    </row>
    <row r="8" spans="1:14" ht="22" customHeight="1" thickBot="1" x14ac:dyDescent="0.25">
      <c r="B8" s="9"/>
      <c r="C8" s="6" t="s">
        <v>6</v>
      </c>
      <c r="D8" s="6" t="s">
        <v>7</v>
      </c>
      <c r="F8" s="11" t="s">
        <v>19</v>
      </c>
      <c r="G8" s="13">
        <v>0</v>
      </c>
      <c r="H8" s="21">
        <f>C10</f>
        <v>35</v>
      </c>
      <c r="I8" s="13">
        <f>D10</f>
        <v>90</v>
      </c>
      <c r="J8" s="13">
        <v>0</v>
      </c>
      <c r="K8" s="13">
        <f>C10</f>
        <v>35</v>
      </c>
      <c r="L8" s="13">
        <v>0</v>
      </c>
      <c r="N8" s="25"/>
    </row>
    <row r="9" spans="1:14" ht="22" customHeight="1" x14ac:dyDescent="0.2">
      <c r="B9" s="9" t="s">
        <v>13</v>
      </c>
      <c r="C9" s="14">
        <v>40</v>
      </c>
      <c r="D9" s="15">
        <v>100</v>
      </c>
      <c r="F9" s="11" t="s">
        <v>0</v>
      </c>
      <c r="G9" s="33">
        <f>G7+G8</f>
        <v>100</v>
      </c>
      <c r="H9" s="21">
        <f>H7+H8</f>
        <v>75</v>
      </c>
      <c r="I9" s="33">
        <f t="shared" ref="I9:L9" si="1">I7+I8</f>
        <v>90</v>
      </c>
      <c r="J9" s="13">
        <f t="shared" si="1"/>
        <v>40</v>
      </c>
      <c r="K9" s="13">
        <f t="shared" si="1"/>
        <v>35</v>
      </c>
      <c r="L9" s="13">
        <f t="shared" si="1"/>
        <v>0</v>
      </c>
      <c r="N9" s="25"/>
    </row>
    <row r="10" spans="1:14" ht="22" customHeight="1" thickBot="1" x14ac:dyDescent="0.25">
      <c r="B10" s="9" t="s">
        <v>14</v>
      </c>
      <c r="C10" s="16">
        <v>35</v>
      </c>
      <c r="D10" s="17">
        <v>90</v>
      </c>
      <c r="F10" s="11" t="s">
        <v>20</v>
      </c>
      <c r="G10" s="13">
        <f>D4-G7</f>
        <v>20</v>
      </c>
      <c r="H10" s="21">
        <f>C4-H7</f>
        <v>20</v>
      </c>
      <c r="I10" s="13">
        <v>0</v>
      </c>
      <c r="J10" s="13">
        <f>J5-J7</f>
        <v>20</v>
      </c>
      <c r="K10" s="13">
        <v>0</v>
      </c>
      <c r="L10" s="13">
        <v>0</v>
      </c>
      <c r="N10" s="25"/>
    </row>
    <row r="11" spans="1:14" ht="22" customHeight="1" x14ac:dyDescent="0.2">
      <c r="F11" s="11" t="s">
        <v>21</v>
      </c>
      <c r="G11" s="13">
        <v>0</v>
      </c>
      <c r="H11" s="21">
        <f>C5-H8</f>
        <v>25</v>
      </c>
      <c r="I11" s="13">
        <f>D5-I8</f>
        <v>30</v>
      </c>
      <c r="J11" s="13">
        <v>0</v>
      </c>
      <c r="K11" s="13">
        <f>K5-K9</f>
        <v>25</v>
      </c>
      <c r="L11" s="13">
        <v>0</v>
      </c>
      <c r="N11" s="25"/>
    </row>
    <row r="12" spans="1:14" ht="17" thickBot="1" x14ac:dyDescent="0.25">
      <c r="N12" s="25"/>
    </row>
    <row r="13" spans="1:14" ht="21" x14ac:dyDescent="0.2">
      <c r="B13" s="9" t="s">
        <v>22</v>
      </c>
      <c r="C13" s="18">
        <v>20</v>
      </c>
      <c r="N13" s="25"/>
    </row>
    <row r="14" spans="1:14" ht="22" thickBot="1" x14ac:dyDescent="0.25">
      <c r="B14" s="9" t="s">
        <v>23</v>
      </c>
      <c r="C14" s="19">
        <v>25</v>
      </c>
      <c r="N14" s="25"/>
    </row>
    <row r="15" spans="1:14" x14ac:dyDescent="0.2">
      <c r="N15" s="25"/>
    </row>
    <row r="16" spans="1:14" x14ac:dyDescent="0.2">
      <c r="A16" s="25"/>
      <c r="B16" s="26"/>
      <c r="C16" s="25"/>
      <c r="D16" s="25"/>
      <c r="E16" s="25"/>
      <c r="F16" s="27"/>
      <c r="G16" s="28"/>
      <c r="H16" s="28"/>
      <c r="I16" s="28"/>
      <c r="J16" s="28"/>
      <c r="K16" s="28"/>
      <c r="L16" s="28"/>
      <c r="M16" s="25"/>
      <c r="N16" s="25"/>
    </row>
  </sheetData>
  <sheetProtection algorithmName="SHA-512" hashValue="75VANt1C6rpOTiMrVEd/hwtnFdLN7HQLlNK6fJ91+Ga0tg++69uTAsRzaqAdHf8isNGu+cilYQ0OlfoZcDoXLw==" saltValue="SS0r/NKVdQdTSVRFbyHe2Q==" spinCount="100000" sheet="1" objects="1" scenarios="1" formatCells="0"/>
  <mergeCells count="2">
    <mergeCell ref="C2:D2"/>
    <mergeCell ref="G2:L2"/>
  </mergeCells>
  <dataValidations count="3">
    <dataValidation type="whole" operator="greaterThanOrEqual" allowBlank="1" showErrorMessage="1" errorTitle="Input a Bid" error="You should make a bid that is a whole number greater or equal to 0." promptTitle="Bid" prompt="A whole number greater than or equal to zero." sqref="C6:D6" xr:uid="{00000000-0002-0000-0000-000000000000}">
      <formula1>0</formula1>
    </dataValidation>
    <dataValidation type="decimal" operator="greaterThanOrEqual" allowBlank="1" showErrorMessage="1" errorTitle="Input a Bid" error="You should make a bid that is greater than or equal to 0." promptTitle="Bid" prompt="A whole number greater than or equal to zero." sqref="C13:C14 C9:D10" xr:uid="{00000000-0002-0000-0000-000001000000}">
      <formula1>0</formula1>
    </dataValidation>
    <dataValidation type="decimal" operator="greaterThanOrEqual" allowBlank="1" showErrorMessage="1" errorTitle="Input a Bid" error="Your bid should be a number that is greater than or equal to 0." promptTitle="Bid" prompt="A whole number greater than or equal to zero." sqref="C4:D5" xr:uid="{00000000-0002-0000-00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G18"/>
  <sheetViews>
    <sheetView tabSelected="1" zoomScale="130" zoomScaleNormal="130" workbookViewId="0">
      <selection activeCell="B15" sqref="B15"/>
    </sheetView>
  </sheetViews>
  <sheetFormatPr baseColWidth="10" defaultColWidth="8.83203125" defaultRowHeight="16" x14ac:dyDescent="0.2"/>
  <cols>
    <col min="4" max="4" width="9.33203125" style="8" bestFit="1" customWidth="1"/>
    <col min="6" max="7" width="18.33203125" bestFit="1" customWidth="1"/>
  </cols>
  <sheetData>
    <row r="5" spans="2:7" x14ac:dyDescent="0.2">
      <c r="D5" s="8" t="s">
        <v>24</v>
      </c>
      <c r="F5" t="s">
        <v>25</v>
      </c>
      <c r="G5" t="s">
        <v>26</v>
      </c>
    </row>
    <row r="6" spans="2:7" x14ac:dyDescent="0.2">
      <c r="F6" s="29">
        <v>57</v>
      </c>
      <c r="G6" s="29">
        <v>124</v>
      </c>
    </row>
    <row r="8" spans="2:7" x14ac:dyDescent="0.2">
      <c r="D8" s="8" t="s">
        <v>27</v>
      </c>
      <c r="F8" t="s">
        <v>28</v>
      </c>
      <c r="G8" t="s">
        <v>29</v>
      </c>
    </row>
    <row r="9" spans="2:7" x14ac:dyDescent="0.2">
      <c r="F9" s="29">
        <v>101</v>
      </c>
      <c r="G9" s="29">
        <v>91</v>
      </c>
    </row>
    <row r="12" spans="2:7" x14ac:dyDescent="0.2">
      <c r="D12" s="8" t="s">
        <v>30</v>
      </c>
      <c r="F12" t="s">
        <v>28</v>
      </c>
      <c r="G12" t="s">
        <v>29</v>
      </c>
    </row>
    <row r="13" spans="2:7" x14ac:dyDescent="0.2">
      <c r="F13" s="29">
        <v>60</v>
      </c>
      <c r="G13" s="29">
        <v>120</v>
      </c>
    </row>
    <row r="14" spans="2:7" x14ac:dyDescent="0.2">
      <c r="B14" s="34" t="s">
        <v>35</v>
      </c>
    </row>
    <row r="15" spans="2:7" x14ac:dyDescent="0.2">
      <c r="B15" s="29" t="s">
        <v>31</v>
      </c>
    </row>
    <row r="16" spans="2:7" x14ac:dyDescent="0.2">
      <c r="B16" s="29" t="s">
        <v>32</v>
      </c>
    </row>
    <row r="17" spans="2:2" x14ac:dyDescent="0.2">
      <c r="B17" s="29" t="s">
        <v>33</v>
      </c>
    </row>
    <row r="18" spans="2:2" x14ac:dyDescent="0.2">
      <c r="B18" s="29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Jason Theiling, M.D.</cp:lastModifiedBy>
  <dcterms:created xsi:type="dcterms:W3CDTF">2018-08-23T16:34:48Z</dcterms:created>
  <dcterms:modified xsi:type="dcterms:W3CDTF">2023-12-02T23:24:21Z</dcterms:modified>
</cp:coreProperties>
</file>